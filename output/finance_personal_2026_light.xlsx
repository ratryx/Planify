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ece Aqui" sheetId="1" r:id="rId1"/>
    <sheet name="Dashboard" sheetId="2" r:id="rId2"/>
    <sheet name="Lançamentos" sheetId="3" r:id="rId3"/>
    <sheet name="Configurações" sheetId="4" r:id="rId4"/>
  </sheets>
  <calcPr calcId="124519" fullCalcOnLoad="1"/>
</workbook>
</file>

<file path=xl/sharedStrings.xml><?xml version="1.0" encoding="utf-8"?>
<sst xmlns="http://schemas.openxmlformats.org/spreadsheetml/2006/main" count="47" uniqueCount="44">
  <si>
    <t>Bem-vindo ao Financeiro Pessoal</t>
  </si>
  <si>
    <t>Ano Base: 2026</t>
  </si>
  <si>
    <t>Instruções Iniciais:</t>
  </si>
  <si>
    <t>1. Configure suas categorias e contas na aba 'Configurações'.</t>
  </si>
  <si>
    <t>2. Registre suas movimentações na aba 'Lançamentos'.</t>
  </si>
  <si>
    <t>3. Acompanhe seus resultados na aba 'Dashboard'.</t>
  </si>
  <si>
    <t>Convenções Visuais:</t>
  </si>
  <si>
    <t>Células editáveis (Input)</t>
  </si>
  <si>
    <t>Células automáticas (Fórmulas/Sistema) - Não edite</t>
  </si>
  <si>
    <t>Dashboard Principal</t>
  </si>
  <si>
    <t>Saldo Disponível Hoje</t>
  </si>
  <si>
    <t>Receitas do Mês</t>
  </si>
  <si>
    <t>Despesas do Mês</t>
  </si>
  <si>
    <t>Lançamentos</t>
  </si>
  <si>
    <t>Data</t>
  </si>
  <si>
    <t>Descrição</t>
  </si>
  <si>
    <t>Tipo</t>
  </si>
  <si>
    <t>Categoria</t>
  </si>
  <si>
    <t>Conta</t>
  </si>
  <si>
    <t>Cartão</t>
  </si>
  <si>
    <t>Valor</t>
  </si>
  <si>
    <t>Parcelas</t>
  </si>
  <si>
    <t>Essencial?</t>
  </si>
  <si>
    <t>Recorrente?</t>
  </si>
  <si>
    <t>Observação</t>
  </si>
  <si>
    <t>Configurações</t>
  </si>
  <si>
    <t>Configure abaixo suas listas. Você pode adicionar novas linhas às tabelas sempre que precisar.</t>
  </si>
  <si>
    <t>Moradia</t>
  </si>
  <si>
    <t>Alimentação</t>
  </si>
  <si>
    <t>Transporte</t>
  </si>
  <si>
    <t>Saúde</t>
  </si>
  <si>
    <t>Educação</t>
  </si>
  <si>
    <t>Lazer</t>
  </si>
  <si>
    <t>Assinaturas</t>
  </si>
  <si>
    <t>Compras</t>
  </si>
  <si>
    <t>Viagens</t>
  </si>
  <si>
    <t>Impostos</t>
  </si>
  <si>
    <t>Investimentos</t>
  </si>
  <si>
    <t>Dívidas</t>
  </si>
  <si>
    <t>Outros</t>
  </si>
  <si>
    <t>Conta Corrente</t>
  </si>
  <si>
    <t>Poupança</t>
  </si>
  <si>
    <t>Carteira</t>
  </si>
  <si>
    <t>Cartão Principal</t>
  </si>
</sst>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sz val="11"/>
      <color theme="1"/>
      <name val="Calibri"/>
      <family val="2"/>
      <scheme val="minor"/>
    </font>
    <font>
      <b/>
      <sz val="16"/>
      <color rgb="FF2563EB"/>
      <name val="Arial"/>
      <family val="2"/>
    </font>
    <font>
      <b/>
      <sz val="11"/>
      <color rgb="FF111827"/>
      <name val="Arial"/>
      <family val="2"/>
    </font>
    <font>
      <sz val="11"/>
      <color rgb="FF111827"/>
      <name val="Arial"/>
      <family val="2"/>
    </font>
    <font>
      <sz val="11"/>
      <color rgb="FF4B5563"/>
      <name val="Arial"/>
      <family val="2"/>
    </font>
    <font>
      <b/>
      <sz val="14"/>
      <color rgb="FF4B5563"/>
      <name val="Arial"/>
      <family val="2"/>
    </font>
    <font>
      <b/>
      <sz val="11"/>
      <color rgb="FF4B55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3" fillId="3" borderId="1" xfId="0" applyFont="1" applyFill="1" applyBorder="1" applyProtection="1">
      <protection locked="0"/>
    </xf>
    <xf numFmtId="0" fontId="4" fillId="4" borderId="0" xfId="0" applyFont="1" applyFill="1"/>
    <xf numFmtId="164" fontId="5" fillId="4" borderId="0" xfId="0" applyNumberFormat="1" applyFont="1" applyFill="1"/>
    <xf numFmtId="164" fontId="6" fillId="4" borderId="0" xfId="0" applyNumberFormat="1" applyFont="1" applyFill="1"/>
  </cellXfs>
  <cellStyles count="1">
    <cellStyle name="Normal" xfId="0" builtinId="0"/>
  </cellStyles>
  <dxfs count="2">
    <dxf>
      <font>
        <color rgb="FF111827"/>
      </font>
      <numFmt numFmtId="165" formatCode="dd/mm/yyyy"/>
      <fill>
        <patternFill>
          <bgColor rgb="FFFFFFFF"/>
        </patternFill>
      </fill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color rgb="FF111827"/>
      </font>
      <numFmt numFmtId="164" formatCode="R$ #,##0.00"/>
      <fill>
        <patternFill>
          <bgColor rgb="FFFFFFFF"/>
        </patternFill>
      </fill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Lancamentos" displayName="tblLancamentos" ref="B4:L5" totalsRowShown="0">
  <autoFilter ref="B4:L5"/>
  <tableColumns count="11">
    <tableColumn id="1" name="Data" dataDxfId="0"/>
    <tableColumn id="2" name="Descrição"/>
    <tableColumn id="3" name="Tipo"/>
    <tableColumn id="4" name="Categoria"/>
    <tableColumn id="5" name="Conta"/>
    <tableColumn id="6" name="Cartão"/>
    <tableColumn id="7" name="Valor" dataDxfId="1"/>
    <tableColumn id="8" name="Parcelas"/>
    <tableColumn id="9" name="Essencial?"/>
    <tableColumn id="10" name="Recorrente?"/>
    <tableColumn id="11" name="Observaçã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Categorias" displayName="tblCategorias" ref="B6:B19" totalsRowShown="0">
  <autoFilter ref="B6:B19"/>
  <tableColumns count="1">
    <tableColumn id="1" name="Categori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blContas" displayName="tblContas" ref="D6:D9" totalsRowShown="0">
  <autoFilter ref="D6:D9"/>
  <tableColumns count="1">
    <tableColumn id="1" name="Cont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blCartoes" displayName="tblCartoes" ref="F6:F7" totalsRowShown="0">
  <autoFilter ref="F6:F7"/>
  <tableColumns count="1">
    <tableColumn id="1" name="Cart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3"/>
  <sheetViews>
    <sheetView showGridLines="0" tabSelected="1" workbookViewId="0"/>
  </sheetViews>
  <sheetFormatPr defaultRowHeight="15"/>
  <cols>
    <col min="2" max="2" width="60.7109375" customWidth="1"/>
  </cols>
  <sheetData>
    <row r="2" spans="2:2">
      <c r="B2" s="1" t="s">
        <v>0</v>
      </c>
    </row>
    <row r="4" spans="2:2">
      <c r="B4" s="2" t="s">
        <v>1</v>
      </c>
    </row>
    <row r="6" spans="2:2">
      <c r="B6" s="3" t="s">
        <v>2</v>
      </c>
    </row>
    <row r="7" spans="2:2">
      <c r="B7" s="4" t="s">
        <v>3</v>
      </c>
    </row>
    <row r="8" spans="2:2">
      <c r="B8" s="4" t="s">
        <v>4</v>
      </c>
    </row>
    <row r="9" spans="2:2">
      <c r="B9" s="4" t="s">
        <v>5</v>
      </c>
    </row>
    <row r="11" spans="2:2">
      <c r="B11" s="4" t="s">
        <v>6</v>
      </c>
    </row>
    <row r="12" spans="2:2">
      <c r="B12" s="5" t="s">
        <v>7</v>
      </c>
    </row>
    <row r="13" spans="2:2">
      <c r="B13" s="6" t="s">
        <v>8</v>
      </c>
    </row>
  </sheetData>
  <sheetProtection sheet="1" objects="1" scenarios="1" formatCells="0" formatColumns="0" formatRows="0" insert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E5"/>
  <sheetViews>
    <sheetView showGridLines="0" workbookViewId="0"/>
  </sheetViews>
  <sheetFormatPr defaultRowHeight="15"/>
  <cols>
    <col min="2" max="2" width="25.7109375" customWidth="1"/>
    <col min="3" max="3" width="5.7109375" customWidth="1"/>
    <col min="4" max="5" width="20.7109375" customWidth="1"/>
  </cols>
  <sheetData>
    <row r="2" spans="2:5">
      <c r="B2" s="1" t="s">
        <v>9</v>
      </c>
    </row>
    <row r="4" spans="2:5">
      <c r="B4" s="3" t="s">
        <v>10</v>
      </c>
      <c r="D4" s="3" t="s">
        <v>11</v>
      </c>
      <c r="E4" s="3" t="s">
        <v>12</v>
      </c>
    </row>
    <row r="5" spans="2:5">
      <c r="B5" s="7">
        <f>=SUMIFS(tblLancamentos[Valor],tblLancamentos[Tipo],"Receita") - =SUMIFS(tblLancamentos[Valor],tblLancamentos[Tipo],"Despesa")</f>
        <v>None</v>
      </c>
      <c r="D5" s="8">
        <f>SUMIFS(tblLancamentos[Valor],tblLancamentos[Tipo],"Receita")</f>
        <v>None</v>
      </c>
      <c r="E5" s="8">
        <f>SUMIFS(tblLancamentos[Valor],tblLancamentos[Tipo],"Despesa")</f>
        <v>None</v>
      </c>
    </row>
  </sheetData>
  <sheetProtection sheet="1" objects="1" scenarios="1" formatCells="0" formatColumns="0" formatRows="0" insertRows="0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12.7109375" customWidth="1"/>
    <col min="3" max="3" width="30.7109375" customWidth="1"/>
    <col min="4" max="4" width="15.7109375" customWidth="1"/>
    <col min="5" max="5" width="20.7109375" customWidth="1"/>
    <col min="6" max="8" width="15.7109375" customWidth="1"/>
    <col min="9" max="9" width="10.7109375" customWidth="1"/>
    <col min="10" max="11" width="12.7109375" customWidth="1"/>
    <col min="12" max="12" width="25.7109375" customWidth="1"/>
  </cols>
  <sheetData>
    <row r="2" spans="2:12">
      <c r="B2" s="1" t="s">
        <v>13</v>
      </c>
    </row>
    <row r="4" spans="2:12"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</row>
  </sheetData>
  <sheetProtection sheet="1" objects="1" scenarios="1" formatCells="0" formatColumns="0" formatRows="0" insertRows="0" sort="0" autoFilter="0"/>
  <dataValidations count="6">
    <dataValidation type="list" allowBlank="1" showInputMessage="1" showErrorMessage="1" errorTitle="Valor Inválido" error="Por favor, selecione um valor válido da lista." promptTitle="" prompt="" sqref="D5">
      <formula1>"Receita,Despesa,Transferência,Investimento,Resgate,Pagamento de dívida"</formula1>
    </dataValidation>
    <dataValidation type="list" allowBlank="1" showInputMessage="1" showErrorMessage="1" errorTitle="Valor Inválido" error="Por favor, selecione um valor válido da lista." promptTitle="" prompt="" sqref="E5">
      <formula1>INDIRECT(tblCategorias[Categoria])</formula1>
    </dataValidation>
    <dataValidation type="list" allowBlank="1" showInputMessage="1" showErrorMessage="1" errorTitle="Valor Inválido" error="Por favor, selecione um valor válido da lista." promptTitle="" prompt="" sqref="F5">
      <formula1>INDIRECT(tblContas[Conta])</formula1>
    </dataValidation>
    <dataValidation type="list" allowBlank="1" showInputMessage="1" showErrorMessage="1" errorTitle="Valor Inválido" error="Por favor, selecione um valor válido da lista." promptTitle="" prompt="" sqref="G5">
      <formula1>INDIRECT(tblCartoes[Cartão])</formula1>
    </dataValidation>
    <dataValidation type="list" allowBlank="1" showInputMessage="1" showErrorMessage="1" errorTitle="Valor Inválido" error="Por favor, selecione um valor válido da lista." promptTitle="" prompt="" sqref="J5">
      <formula1>"Sim,Não"</formula1>
    </dataValidation>
    <dataValidation type="list" allowBlank="1" showInputMessage="1" showErrorMessage="1" errorTitle="Valor Inválido" error="Por favor, selecione um valor válido da lista." promptTitle="" prompt="" sqref="K5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B2:F19"/>
  <sheetViews>
    <sheetView showGridLines="0" workbookViewId="0"/>
  </sheetViews>
  <sheetFormatPr defaultRowHeight="15"/>
  <cols>
    <col min="2" max="2" width="25.7109375" customWidth="1"/>
    <col min="3" max="3" width="5.7109375" customWidth="1"/>
    <col min="4" max="4" width="20.7109375" customWidth="1"/>
    <col min="5" max="5" width="5.7109375" customWidth="1"/>
    <col min="6" max="6" width="20.7109375" customWidth="1"/>
  </cols>
  <sheetData>
    <row r="2" spans="2:6">
      <c r="B2" s="1" t="s">
        <v>25</v>
      </c>
    </row>
    <row r="4" spans="2:6">
      <c r="B4" s="4" t="s">
        <v>26</v>
      </c>
    </row>
    <row r="6" spans="2:6">
      <c r="B6" t="s">
        <v>17</v>
      </c>
      <c r="D6" t="s">
        <v>18</v>
      </c>
      <c r="F6" t="s">
        <v>19</v>
      </c>
    </row>
    <row r="7" spans="2:6">
      <c r="B7" t="s">
        <v>27</v>
      </c>
      <c r="D7" t="s">
        <v>40</v>
      </c>
      <c r="F7" t="s">
        <v>43</v>
      </c>
    </row>
    <row r="8" spans="2:6">
      <c r="B8" t="s">
        <v>28</v>
      </c>
      <c r="D8" t="s">
        <v>41</v>
      </c>
    </row>
    <row r="9" spans="2:6">
      <c r="B9" t="s">
        <v>29</v>
      </c>
      <c r="D9" t="s">
        <v>42</v>
      </c>
    </row>
    <row r="10" spans="2:6">
      <c r="B10" t="s">
        <v>30</v>
      </c>
    </row>
    <row r="11" spans="2:6">
      <c r="B11" t="s">
        <v>31</v>
      </c>
    </row>
    <row r="12" spans="2:6">
      <c r="B12" t="s">
        <v>32</v>
      </c>
    </row>
    <row r="13" spans="2:6">
      <c r="B13" t="s">
        <v>33</v>
      </c>
    </row>
    <row r="14" spans="2:6">
      <c r="B14" t="s">
        <v>34</v>
      </c>
    </row>
    <row r="15" spans="2:6">
      <c r="B15" t="s">
        <v>35</v>
      </c>
    </row>
    <row r="16" spans="2:6">
      <c r="B16" t="s">
        <v>36</v>
      </c>
    </row>
    <row r="17" spans="2:2">
      <c r="B17" t="s">
        <v>37</v>
      </c>
    </row>
    <row r="18" spans="2:2">
      <c r="B18" t="s">
        <v>38</v>
      </c>
    </row>
    <row r="19" spans="2:2">
      <c r="B19" t="s">
        <v>39</v>
      </c>
    </row>
  </sheetData>
  <sheetProtection sheet="1" objects="1" scenarios="1" formatCells="0" formatColumns="0" formatRows="0" insertRows="0" sort="0" autoFilter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Comece Aqui</vt:lpstr>
      <vt:lpstr>Dashboard</vt:lpstr>
      <vt:lpstr>Lançamentos</vt:lpstr>
      <vt:lpstr>Configurações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2026-08-13T00:45:49Z</dcterms:created>
  <dcterms:modified xsi:type="dcterms:W3CDTF">2026-08-13T00:45:49Z</dcterms:modified>
</cp:coreProperties>
</file>